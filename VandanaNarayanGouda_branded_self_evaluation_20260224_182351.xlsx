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nalysis Summary" sheetId="1" state="visible" r:id="rId1"/>
    <sheet xmlns:r="http://schemas.openxmlformats.org/officeDocument/2006/relationships" name="Self-Evaluation Form" sheetId="2" state="visible" r:id="rId2"/>
    <sheet xmlns:r="http://schemas.openxmlformats.org/officeDocument/2006/relationships" name="Detailed Analysis" sheetId="3" state="visible" r:id="rId3"/>
    <sheet xmlns:r="http://schemas.openxmlformats.org/officeDocument/2006/relationships" name="Improvement Plan" sheetId="4" state="visible" r:id="rId4"/>
    <sheet xmlns:r="http://schemas.openxmlformats.org/officeDocument/2006/relationships" name="Behavior Feedback" sheetId="5" state="visible" r:id="rId5"/>
    <sheet xmlns:r="http://schemas.openxmlformats.org/officeDocument/2006/relationships" name="Class Score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0"/>
    </font>
    <font>
      <b val="1"/>
      <sz val="10"/>
    </font>
    <font>
      <b val="1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4B94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PRESENTATION ANALYSIS -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PRESENTER INFORMATION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Name:</t>
        </is>
      </c>
      <c r="B4" s="2" t="inlineStr">
        <is>
          <t>Vandana Narayan Gouda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Email:</t>
        </is>
      </c>
      <c r="B5" s="2" t="inlineStr">
        <is>
          <t>Vandana_Narayan_Gouda@gmail.com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Evaluation Type:</t>
        </is>
      </c>
      <c r="B6" s="2" t="inlineStr">
        <is>
          <t>BASELINE</t>
        </is>
      </c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Video File:</t>
        </is>
      </c>
      <c r="B8" s="2" t="inlineStr">
        <is>
          <t>Vandana Narayan Gouda_branded.mp4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Analysis Date:</t>
        </is>
      </c>
      <c r="B9" s="2" t="inlineStr">
        <is>
          <t>2026-02-24 18:23:51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Video Duration:</t>
        </is>
      </c>
      <c r="B10" s="2" t="inlineStr">
        <is>
          <t>295.68 seconds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Speech Duration:</t>
        </is>
      </c>
      <c r="B11" s="2" t="inlineStr">
        <is>
          <t>270.56 seconds</t>
        </is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TIME MANAGEMENT EVALUATION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Expected Duration:</t>
        </is>
      </c>
      <c r="B14" s="2" t="inlineStr">
        <is>
          <t>3-5 minutes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Actual Duration:</t>
        </is>
      </c>
      <c r="B15" s="2" t="inlineStr">
        <is>
          <t>4.93 minutes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Status:</t>
        </is>
      </c>
      <c r="B16" s="2" t="inlineStr">
        <is>
          <t>PASSED ✅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Score:</t>
        </is>
      </c>
      <c r="B17" s="2" t="inlineStr">
        <is>
          <t>5.0/5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Feedback:</t>
        </is>
      </c>
      <c r="B18" s="2" t="inlineStr">
        <is>
          <t>✅ Within time limit (4.9 min falls in 3-5 min range)</t>
        </is>
      </c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OVERALL SCORES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Final Score:</t>
        </is>
      </c>
      <c r="B21" s="2" t="inlineStr">
        <is>
          <t>50.31/100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Grade:</t>
        </is>
      </c>
      <c r="B22" s="2" t="inlineStr">
        <is>
          <t>Excellent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Confidence Score:</t>
        </is>
      </c>
      <c r="B23" s="2" t="inlineStr">
        <is>
          <t>50/100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Clarity Score:</t>
        </is>
      </c>
      <c r="B24" s="2" t="inlineStr">
        <is>
          <t>82.06/100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Visual Score:</t>
        </is>
      </c>
      <c r="B25" s="2" t="inlineStr">
        <is>
          <t>0.0/100</t>
        </is>
      </c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KEY METRICS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Speaking Rate:</t>
        </is>
      </c>
      <c r="B28" s="2" t="inlineStr">
        <is>
          <t>118.64 WPM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Total Words:</t>
        </is>
      </c>
      <c r="B29" s="2" t="n">
        <v>535</v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Total Fillers:</t>
        </is>
      </c>
      <c r="B30" s="2" t="n">
        <v>48</v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Eye Contact Score:</t>
        </is>
      </c>
      <c r="B31" s="2" t="n">
        <v>0</v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Posture Score:</t>
        </is>
      </c>
      <c r="B32" s="2" t="n">
        <v>0</v>
      </c>
      <c r="C32" s="2" t="n"/>
      <c r="D32" s="2" t="n"/>
      <c r="E32" s="2" t="n"/>
      <c r="F32" s="2" t="n"/>
      <c r="G32" s="2" t="n"/>
      <c r="H32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3" t="inlineStr">
        <is>
          <t>PRESENTATION SELF-EVALUATION FORM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</row>
    <row r="2">
      <c r="A2" s="4" t="inlineStr">
        <is>
          <t>Video:</t>
        </is>
      </c>
      <c r="B2" s="4" t="inlineStr">
        <is>
          <t>Vandana Narayan Gouda_branded.mp4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inlineStr">
        <is>
          <t>Date:</t>
        </is>
      </c>
      <c r="B3" s="4" t="inlineStr">
        <is>
          <t>2026-02-24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inlineStr">
        <is>
          <t>System Analysis Score:</t>
        </is>
      </c>
      <c r="B4" s="4" t="inlineStr">
        <is>
          <t>50.31/100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5" t="inlineStr">
        <is>
          <t>BODY LANGUAGE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6" t="inlineStr">
        <is>
          <t>PARAMETERS</t>
        </is>
      </c>
      <c r="B9" s="6" t="inlineStr">
        <is>
          <t>MAX</t>
        </is>
      </c>
      <c r="C9" s="6" t="inlineStr">
        <is>
          <t>BASELINE</t>
        </is>
      </c>
      <c r="D9" s="4" t="n"/>
      <c r="E9" s="4" t="n"/>
      <c r="F9" s="6" t="inlineStr">
        <is>
          <t>MID-TERM</t>
        </is>
      </c>
      <c r="G9" s="4" t="n"/>
      <c r="H9" s="4" t="n"/>
      <c r="I9" s="6" t="inlineStr">
        <is>
          <t>FINAL</t>
        </is>
      </c>
      <c r="J9" s="4" t="n"/>
      <c r="K9" s="4" t="n"/>
    </row>
    <row r="10">
      <c r="A10" s="6" t="inlineStr"/>
      <c r="B10" s="6" t="inlineStr"/>
      <c r="C10" s="6" t="inlineStr">
        <is>
          <t>SELF</t>
        </is>
      </c>
      <c r="D10" s="6" t="inlineStr">
        <is>
          <t>EXPERT</t>
        </is>
      </c>
      <c r="E10" s="6" t="inlineStr">
        <is>
          <t>DISCREP</t>
        </is>
      </c>
      <c r="F10" s="6" t="inlineStr">
        <is>
          <t>SELF</t>
        </is>
      </c>
      <c r="G10" s="6" t="inlineStr">
        <is>
          <t>EXPERT</t>
        </is>
      </c>
      <c r="H10" s="6" t="inlineStr">
        <is>
          <t>DISCREP</t>
        </is>
      </c>
      <c r="I10" s="6" t="inlineStr">
        <is>
          <t>SELF</t>
        </is>
      </c>
      <c r="J10" s="6" t="inlineStr">
        <is>
          <t>EXPERT</t>
        </is>
      </c>
      <c r="K10" s="6" t="inlineStr">
        <is>
          <t>DISCREP</t>
        </is>
      </c>
    </row>
    <row r="11">
      <c r="A11" s="4" t="inlineStr">
        <is>
          <t>EYE CONTACT</t>
        </is>
      </c>
      <c r="B11" s="4" t="n">
        <v>5</v>
      </c>
      <c r="C11" s="4" t="n">
        <v>3</v>
      </c>
      <c r="D11" s="4" t="n">
        <v>0</v>
      </c>
      <c r="E11" s="4">
        <f>D11-C11</f>
        <v/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FACIAL EXPRESSIONS</t>
        </is>
      </c>
      <c r="B12" s="4" t="n">
        <v>5</v>
      </c>
      <c r="C12" s="4" t="n">
        <v>3</v>
      </c>
      <c r="D12" s="4" t="n">
        <v>0</v>
      </c>
      <c r="E12" s="4">
        <f>D12-C12</f>
        <v/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HAND GESTURES</t>
        </is>
      </c>
      <c r="B13" s="4" t="n">
        <v>5</v>
      </c>
      <c r="C13" s="4" t="n">
        <v>3</v>
      </c>
      <c r="D13" s="4" t="n">
        <v>2</v>
      </c>
      <c r="E13" s="4">
        <f>D13-C13</f>
        <v/>
      </c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POSTURE &amp; BODY MOVEMENTS</t>
        </is>
      </c>
      <c r="B14" s="4" t="n">
        <v>5</v>
      </c>
      <c r="C14" s="4" t="n">
        <v>3</v>
      </c>
      <c r="D14" s="4" t="n">
        <v>0</v>
      </c>
      <c r="E14" s="4">
        <f>D14-C14</f>
        <v/>
      </c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APPEARANCE &amp; ATTIRE</t>
        </is>
      </c>
      <c r="B15" s="4" t="n">
        <v>5</v>
      </c>
      <c r="C15" s="4" t="n">
        <v>3</v>
      </c>
      <c r="D15" s="4" t="n">
        <v>5</v>
      </c>
      <c r="E15" s="4">
        <f>D15-C15</f>
        <v/>
      </c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5" t="inlineStr">
        <is>
          <t>CONTENT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6" t="inlineStr">
        <is>
          <t>PARAMETERS</t>
        </is>
      </c>
      <c r="B18" s="6" t="inlineStr">
        <is>
          <t>MAX</t>
        </is>
      </c>
      <c r="C18" s="6" t="inlineStr">
        <is>
          <t>BASELINE</t>
        </is>
      </c>
      <c r="D18" s="4" t="n"/>
      <c r="E18" s="4" t="n"/>
      <c r="F18" s="6" t="inlineStr">
        <is>
          <t>MID-TERM</t>
        </is>
      </c>
      <c r="G18" s="4" t="n"/>
      <c r="H18" s="4" t="n"/>
      <c r="I18" s="6" t="inlineStr">
        <is>
          <t>FINAL</t>
        </is>
      </c>
      <c r="J18" s="4" t="n"/>
      <c r="K18" s="4" t="n"/>
    </row>
    <row r="19">
      <c r="A19" s="6" t="inlineStr"/>
      <c r="B19" s="6" t="inlineStr"/>
      <c r="C19" s="6" t="inlineStr">
        <is>
          <t>SELF</t>
        </is>
      </c>
      <c r="D19" s="6" t="inlineStr">
        <is>
          <t>EXPERT</t>
        </is>
      </c>
      <c r="E19" s="6" t="inlineStr">
        <is>
          <t>DISCREP</t>
        </is>
      </c>
      <c r="F19" s="6" t="inlineStr">
        <is>
          <t>SELF</t>
        </is>
      </c>
      <c r="G19" s="6" t="inlineStr">
        <is>
          <t>EXPERT</t>
        </is>
      </c>
      <c r="H19" s="6" t="inlineStr">
        <is>
          <t>DISCREP</t>
        </is>
      </c>
      <c r="I19" s="6" t="inlineStr">
        <is>
          <t>SELF</t>
        </is>
      </c>
      <c r="J19" s="6" t="inlineStr">
        <is>
          <t>EXPERT</t>
        </is>
      </c>
      <c r="K19" s="6" t="inlineStr">
        <is>
          <t>DISCREP</t>
        </is>
      </c>
    </row>
    <row r="20">
      <c r="A20" s="4" t="inlineStr">
        <is>
          <t>OUTLINE</t>
        </is>
      </c>
      <c r="B20" s="4" t="n">
        <v>5</v>
      </c>
      <c r="C20" s="4" t="n">
        <v>3</v>
      </c>
      <c r="D20" s="4" t="n">
        <v>3</v>
      </c>
      <c r="E20" s="4">
        <f>D20-C20</f>
        <v/>
      </c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OPENING</t>
        </is>
      </c>
      <c r="B21" s="4" t="n">
        <v>5</v>
      </c>
      <c r="C21" s="4" t="n">
        <v>3</v>
      </c>
      <c r="D21" s="4" t="n">
        <v>3</v>
      </c>
      <c r="E21" s="4">
        <f>D21-C21</f>
        <v/>
      </c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BODY OF MESSAGE</t>
        </is>
      </c>
      <c r="B22" s="4" t="n">
        <v>10</v>
      </c>
      <c r="C22" s="4" t="n">
        <v>3</v>
      </c>
      <c r="D22" s="4" t="n">
        <v>5</v>
      </c>
      <c r="E22" s="4">
        <f>D22-C22</f>
        <v/>
      </c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CONCLUSION</t>
        </is>
      </c>
      <c r="B23" s="4" t="n">
        <v>5</v>
      </c>
      <c r="C23" s="4" t="n">
        <v>3</v>
      </c>
      <c r="D23" s="4" t="n">
        <v>3</v>
      </c>
      <c r="E23" s="4">
        <f>D23-C23</f>
        <v/>
      </c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GRAMMAR &amp; VOCABULARY</t>
        </is>
      </c>
      <c r="B24" s="4" t="n">
        <v>4</v>
      </c>
      <c r="C24" s="4" t="n">
        <v>3</v>
      </c>
      <c r="D24" s="4" t="n">
        <v>4</v>
      </c>
      <c r="E24" s="4">
        <f>D24-C24</f>
        <v/>
      </c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DELIVERY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6" t="inlineStr">
        <is>
          <t>PARAMETERS</t>
        </is>
      </c>
      <c r="B27" s="6" t="inlineStr">
        <is>
          <t>MAX</t>
        </is>
      </c>
      <c r="C27" s="6" t="inlineStr">
        <is>
          <t>BASELINE</t>
        </is>
      </c>
      <c r="D27" s="4" t="n"/>
      <c r="E27" s="4" t="n"/>
      <c r="F27" s="6" t="inlineStr">
        <is>
          <t>MID-TERM</t>
        </is>
      </c>
      <c r="G27" s="4" t="n"/>
      <c r="H27" s="4" t="n"/>
      <c r="I27" s="6" t="inlineStr">
        <is>
          <t>FINAL</t>
        </is>
      </c>
      <c r="J27" s="4" t="n"/>
      <c r="K27" s="4" t="n"/>
    </row>
    <row r="28">
      <c r="A28" s="6" t="inlineStr"/>
      <c r="B28" s="6" t="inlineStr"/>
      <c r="C28" s="6" t="inlineStr">
        <is>
          <t>SELF</t>
        </is>
      </c>
      <c r="D28" s="6" t="inlineStr">
        <is>
          <t>EXPERT</t>
        </is>
      </c>
      <c r="E28" s="6" t="inlineStr">
        <is>
          <t>DISCREP</t>
        </is>
      </c>
      <c r="F28" s="6" t="inlineStr">
        <is>
          <t>SELF</t>
        </is>
      </c>
      <c r="G28" s="6" t="inlineStr">
        <is>
          <t>EXPERT</t>
        </is>
      </c>
      <c r="H28" s="6" t="inlineStr">
        <is>
          <t>DISCREP</t>
        </is>
      </c>
      <c r="I28" s="6" t="inlineStr">
        <is>
          <t>SELF</t>
        </is>
      </c>
      <c r="J28" s="6" t="inlineStr">
        <is>
          <t>EXPERT</t>
        </is>
      </c>
      <c r="K28" s="6" t="inlineStr">
        <is>
          <t>DISCREP</t>
        </is>
      </c>
    </row>
    <row r="29">
      <c r="A29" s="4" t="inlineStr">
        <is>
          <t>TIME MANAGEMENT</t>
        </is>
      </c>
      <c r="B29" s="4" t="n">
        <v>5</v>
      </c>
      <c r="C29" s="4" t="n">
        <v>3</v>
      </c>
      <c r="D29" s="4" t="n">
        <v>5</v>
      </c>
      <c r="E29" s="4">
        <f>D29-C29</f>
        <v/>
      </c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VOICE MODULATION</t>
        </is>
      </c>
      <c r="B30" s="4" t="n">
        <v>4</v>
      </c>
      <c r="C30" s="4" t="n">
        <v>3</v>
      </c>
      <c r="D30" s="4" t="n">
        <v>2</v>
      </c>
      <c r="E30" s="4">
        <f>D30-C30</f>
        <v/>
      </c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RATE OF SPEECH</t>
        </is>
      </c>
      <c r="B31" s="4" t="n">
        <v>4</v>
      </c>
      <c r="C31" s="4" t="n">
        <v>3</v>
      </c>
      <c r="D31" s="4" t="n">
        <v>3</v>
      </c>
      <c r="E31" s="4">
        <f>D31-C31</f>
        <v/>
      </c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FLUENCY</t>
        </is>
      </c>
      <c r="B32" s="4" t="n">
        <v>4</v>
      </c>
      <c r="C32" s="4" t="n">
        <v>3</v>
      </c>
      <c r="D32" s="4" t="n">
        <v>3.3</v>
      </c>
      <c r="E32" s="4">
        <f>D32-C32</f>
        <v/>
      </c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ACCENT AND PRONUNCIATION</t>
        </is>
      </c>
      <c r="B33" s="4" t="n">
        <v>3</v>
      </c>
      <c r="C33" s="4" t="n">
        <v>3</v>
      </c>
      <c r="D33" s="4" t="inlineStr"/>
      <c r="E33" s="4">
        <f>D33-C33</f>
        <v/>
      </c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AUDIENCE - IMPACT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6" t="inlineStr">
        <is>
          <t>PARAMETERS</t>
        </is>
      </c>
      <c r="B36" s="6" t="inlineStr">
        <is>
          <t>MAX</t>
        </is>
      </c>
      <c r="C36" s="6" t="inlineStr">
        <is>
          <t>BASELINE</t>
        </is>
      </c>
      <c r="D36" s="4" t="n"/>
      <c r="E36" s="4" t="n"/>
      <c r="F36" s="6" t="inlineStr">
        <is>
          <t>MID-TERM</t>
        </is>
      </c>
      <c r="G36" s="4" t="n"/>
      <c r="H36" s="4" t="n"/>
      <c r="I36" s="6" t="inlineStr">
        <is>
          <t>FINAL</t>
        </is>
      </c>
      <c r="J36" s="4" t="n"/>
      <c r="K36" s="4" t="n"/>
    </row>
    <row r="37">
      <c r="A37" s="6" t="inlineStr"/>
      <c r="B37" s="6" t="inlineStr"/>
      <c r="C37" s="6" t="inlineStr">
        <is>
          <t>SELF</t>
        </is>
      </c>
      <c r="D37" s="6" t="inlineStr">
        <is>
          <t>EXPERT</t>
        </is>
      </c>
      <c r="E37" s="6" t="inlineStr">
        <is>
          <t>DISCREP</t>
        </is>
      </c>
      <c r="F37" s="6" t="inlineStr">
        <is>
          <t>SELF</t>
        </is>
      </c>
      <c r="G37" s="6" t="inlineStr">
        <is>
          <t>EXPERT</t>
        </is>
      </c>
      <c r="H37" s="6" t="inlineStr">
        <is>
          <t>DISCREP</t>
        </is>
      </c>
      <c r="I37" s="6" t="inlineStr">
        <is>
          <t>SELF</t>
        </is>
      </c>
      <c r="J37" s="6" t="inlineStr">
        <is>
          <t>EXPERT</t>
        </is>
      </c>
      <c r="K37" s="6" t="inlineStr">
        <is>
          <t>DISCREP</t>
        </is>
      </c>
    </row>
    <row r="38">
      <c r="A38" s="4" t="inlineStr">
        <is>
          <t>VERBAL INTERACTION</t>
        </is>
      </c>
      <c r="B38" s="4" t="n">
        <v>4</v>
      </c>
      <c r="C38" s="4" t="n">
        <v>3</v>
      </c>
      <c r="D38" s="4" t="n">
        <v>3</v>
      </c>
      <c r="E38" s="4">
        <f>D38-C38</f>
        <v/>
      </c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RESPONSE TO Q &amp; A</t>
        </is>
      </c>
      <c r="B39" s="4" t="n">
        <v>4</v>
      </c>
      <c r="C39" s="4" t="n">
        <v>3</v>
      </c>
      <c r="D39" s="4" t="n">
        <v>3</v>
      </c>
      <c r="E39" s="4">
        <f>D39-C39</f>
        <v/>
      </c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AUDIENCE ENGAGEMENT</t>
        </is>
      </c>
      <c r="B40" s="4" t="n">
        <v>8</v>
      </c>
      <c r="C40" s="4" t="n">
        <v>3</v>
      </c>
      <c r="D40" s="4" t="n">
        <v>0</v>
      </c>
      <c r="E40" s="4">
        <f>D40-C40</f>
        <v/>
      </c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EMOTIONAL CONNECTION</t>
        </is>
      </c>
      <c r="B41" s="4" t="n">
        <v>5</v>
      </c>
      <c r="C41" s="4" t="n">
        <v>3</v>
      </c>
      <c r="D41" s="4" t="n">
        <v>3</v>
      </c>
      <c r="E41" s="4">
        <f>D41-C41</f>
        <v/>
      </c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ACTIVE LISTENING</t>
        </is>
      </c>
      <c r="B42" s="4" t="n">
        <v>5</v>
      </c>
      <c r="C42" s="4" t="n">
        <v>3</v>
      </c>
      <c r="D42" s="4" t="n">
        <v>3</v>
      </c>
      <c r="E42" s="4">
        <f>D42-C42</f>
        <v/>
      </c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6" t="inlineStr">
        <is>
          <t>TOTAL</t>
        </is>
      </c>
      <c r="B44" s="6" t="n">
        <v>100</v>
      </c>
      <c r="C44" s="6">
        <f>SUM(C8:C43)</f>
        <v/>
      </c>
      <c r="D44" s="6">
        <f>SUM(D8:D43)</f>
        <v/>
      </c>
      <c r="E44" s="6">
        <f>SUM(E8:E43)</f>
        <v/>
      </c>
      <c r="F44" s="6">
        <f>SUM(F8:F43)</f>
        <v/>
      </c>
      <c r="G44" s="6">
        <f>SUM(G8:G43)</f>
        <v/>
      </c>
      <c r="H44" s="6">
        <f>SUM(H8:H43)</f>
        <v/>
      </c>
      <c r="I44" s="6">
        <f>SUM(I8:I43)</f>
        <v/>
      </c>
      <c r="J44" s="6">
        <f>SUM(J8:J43)</f>
        <v/>
      </c>
      <c r="K44" s="6">
        <f>SUM(K8:K43)</f>
        <v/>
      </c>
    </row>
    <row r="45">
      <c r="A45" s="6" t="inlineStr">
        <is>
          <t>PERCENTAGE</t>
        </is>
      </c>
      <c r="B45" s="6" t="inlineStr"/>
      <c r="C45" s="7">
        <f>C44/100</f>
        <v/>
      </c>
      <c r="D45" s="7">
        <f>D44/100</f>
        <v/>
      </c>
      <c r="E45" s="7">
        <f>E44/100</f>
        <v/>
      </c>
      <c r="F45" s="7">
        <f>F44/100</f>
        <v/>
      </c>
      <c r="G45" s="7">
        <f>G44/100</f>
        <v/>
      </c>
      <c r="H45" s="7">
        <f>H44/100</f>
        <v/>
      </c>
      <c r="I45" s="7">
        <f>I44/100</f>
        <v/>
      </c>
      <c r="J45" s="7">
        <f>J44/100</f>
        <v/>
      </c>
      <c r="K45" s="7">
        <f>K44/100</f>
        <v/>
      </c>
    </row>
    <row r="46">
      <c r="A46" s="6" t="inlineStr">
        <is>
          <t>GRADE</t>
        </is>
      </c>
      <c r="B46" s="6" t="inlineStr"/>
      <c r="C46" s="6">
        <f>IF(C45&gt;=0.85,"Excellent",IF(C45&gt;=0.70,"Good","Needs Improvement"))</f>
        <v/>
      </c>
      <c r="D46" s="6">
        <f>IF(D45&gt;=0.85,"Excellent",IF(D45&gt;=0.70,"Good","Needs Improvement"))</f>
        <v/>
      </c>
      <c r="E46" s="6" t="inlineStr"/>
      <c r="F46" s="6">
        <f>IF(F45&gt;=0.85,"Excellent",IF(F45&gt;=0.70,"Good","Needs Improvement"))</f>
        <v/>
      </c>
      <c r="G46" s="6">
        <f>IF(G45&gt;=0.85,"Excellent",IF(G45&gt;=0.70,"Good","Needs Improvement"))</f>
        <v/>
      </c>
      <c r="H46" s="6" t="inlineStr"/>
      <c r="I46" s="6">
        <f>IF(I45&gt;=0.85,"Excellent",IF(I45&gt;=0.70,"Good","Needs Improvement"))</f>
        <v/>
      </c>
      <c r="J46" s="6">
        <f>IF(J45&gt;=0.85,"Excellent",IF(J45&gt;=0.70,"Good","Needs Improvement"))</f>
        <v/>
      </c>
      <c r="K46" s="6" t="inlineStr"/>
    </row>
    <row r="49">
      <c r="A49" s="8" t="inlineStr">
        <is>
          <t>INSTRUCTIONS:</t>
        </is>
      </c>
    </row>
    <row r="50">
      <c r="A50" s="9" t="inlineStr">
        <is>
          <t>1. Fill in YOUR scores in 'SELF' columns for BASELINE, MID-TERM, and FINAL evaluations</t>
        </is>
      </c>
    </row>
    <row r="51">
      <c r="A51" s="9" t="inlineStr">
        <is>
          <t>2. AI 'EXPERT' scores are pre-filled based on video analysis</t>
        </is>
      </c>
    </row>
    <row r="52">
      <c r="A52" s="9" t="inlineStr">
        <is>
          <t>3. DISCREP (Discrepancy) automatically calculates the difference between your score and AI expert score</t>
        </is>
      </c>
    </row>
    <row r="53">
      <c r="A53" s="9" t="inlineStr">
        <is>
          <t>4. Track your progress across three evaluation periods: BASELINE → MID-TERM → FINAL</t>
        </is>
      </c>
    </row>
    <row r="54">
      <c r="A54" s="9" t="inlineStr">
        <is>
          <t>5. All 20 parameters are included matching the official evaluation sheet</t>
        </is>
      </c>
    </row>
    <row r="55">
      <c r="A55" s="9" t="inlineStr">
        <is>
          <t>6. Use this sheet to identify improvement areas and measure growth over time</t>
        </is>
      </c>
    </row>
  </sheetData>
  <mergeCells count="24">
    <mergeCell ref="F36:H36"/>
    <mergeCell ref="F18:H18"/>
    <mergeCell ref="C9:E9"/>
    <mergeCell ref="A49:K49"/>
    <mergeCell ref="A51:K51"/>
    <mergeCell ref="I18:K18"/>
    <mergeCell ref="A1:K1"/>
    <mergeCell ref="C36:E36"/>
    <mergeCell ref="C27:E27"/>
    <mergeCell ref="A54:K54"/>
    <mergeCell ref="F27:H27"/>
    <mergeCell ref="F9:H9"/>
    <mergeCell ref="A50:K50"/>
    <mergeCell ref="A26:K26"/>
    <mergeCell ref="A55:K55"/>
    <mergeCell ref="I9:K9"/>
    <mergeCell ref="C18:E18"/>
    <mergeCell ref="A17:K17"/>
    <mergeCell ref="A8:K8"/>
    <mergeCell ref="A53:K53"/>
    <mergeCell ref="A35:K35"/>
    <mergeCell ref="I36:K36"/>
    <mergeCell ref="I27:K27"/>
    <mergeCell ref="A52:K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  <col width="2" customWidth="1" min="3" max="3"/>
    <col width="2" customWidth="1" min="4" max="4"/>
  </cols>
  <sheetData>
    <row r="1">
      <c r="A1" s="10" t="inlineStr">
        <is>
          <t>DETAILED AI ANALYSIS METRICS</t>
        </is>
      </c>
    </row>
    <row r="2"/>
    <row r="3">
      <c r="A3" s="11" t="inlineStr">
        <is>
          <t>Speech Analysis</t>
        </is>
      </c>
    </row>
    <row r="4">
      <c r="A4" t="inlineStr">
        <is>
          <t>Words Per Minute</t>
        </is>
      </c>
      <c r="B4" t="n">
        <v>118.64</v>
      </c>
    </row>
    <row r="5">
      <c r="A5" t="inlineStr">
        <is>
          <t>Total Words</t>
        </is>
      </c>
      <c r="B5" t="n">
        <v>535</v>
      </c>
    </row>
    <row r="6">
      <c r="A6" t="inlineStr">
        <is>
          <t>Clarity Score</t>
        </is>
      </c>
      <c r="B6" t="inlineStr">
        <is>
          <t>82.06%</t>
        </is>
      </c>
    </row>
    <row r="7">
      <c r="A7" t="inlineStr">
        <is>
          <t>Total Fillers</t>
        </is>
      </c>
      <c r="B7" t="n">
        <v>48</v>
      </c>
    </row>
    <row r="8">
      <c r="A8" t="inlineStr">
        <is>
          <t>Pause Fillers</t>
        </is>
      </c>
      <c r="B8" t="n">
        <v>8</v>
      </c>
    </row>
    <row r="9">
      <c r="A9" t="inlineStr">
        <is>
          <t>Vocabulary Richness</t>
        </is>
      </c>
      <c r="B9" t="inlineStr">
        <is>
          <t>41.6%</t>
        </is>
      </c>
    </row>
    <row r="10">
      <c r="A10" t="inlineStr">
        <is>
          <t>Fluency Verdict</t>
        </is>
      </c>
      <c r="B10" t="inlineStr">
        <is>
          <t>Low fluency - frequent fillers reduced flow.</t>
        </is>
      </c>
    </row>
    <row r="11"/>
    <row r="12">
      <c r="A12" s="11" t="inlineStr">
        <is>
          <t>Voice Analysis</t>
        </is>
      </c>
    </row>
    <row r="13">
      <c r="A13" t="inlineStr">
        <is>
          <t>Modulation Feedback</t>
        </is>
      </c>
      <c r="B13" t="inlineStr">
        <is>
          <t>Highly dynamic. Great energy - ensure it remains professional.</t>
        </is>
      </c>
    </row>
    <row r="14">
      <c r="A14" t="inlineStr">
        <is>
          <t>Volume Feedback</t>
        </is>
      </c>
      <c r="B14" t="inlineStr">
        <is>
          <t>Voice volume acceptable but can be stronger.</t>
        </is>
      </c>
    </row>
    <row r="15">
      <c r="A15" t="inlineStr">
        <is>
          <t>Pitch Standard Deviation</t>
        </is>
      </c>
      <c r="B15" t="n">
        <v>106.3789672851562</v>
      </c>
    </row>
    <row r="16">
      <c r="A16" t="inlineStr">
        <is>
          <t>Average Volume</t>
        </is>
      </c>
      <c r="B16" t="n">
        <v>0.02060546725988388</v>
      </c>
    </row>
    <row r="17"/>
    <row r="18">
      <c r="A18" s="11" t="inlineStr">
        <is>
          <t>Visual Analysis</t>
        </is>
      </c>
    </row>
    <row r="19">
      <c r="A19" t="inlineStr">
        <is>
          <t>Eye Contact Verdict</t>
        </is>
      </c>
      <c r="B19" t="inlineStr">
        <is>
          <t>Poor</t>
        </is>
      </c>
    </row>
    <row r="20">
      <c r="A20" t="inlineStr">
        <is>
          <t>Eye Contact Score</t>
        </is>
      </c>
      <c r="B20" t="n">
        <v>0</v>
      </c>
    </row>
    <row r="21">
      <c r="A21" t="inlineStr">
        <is>
          <t>Eye Distribution (L/C/R)</t>
        </is>
      </c>
      <c r="B21" t="inlineStr">
        <is>
          <t>0.34% / 93.17% / 6.48%</t>
        </is>
      </c>
    </row>
    <row r="22">
      <c r="A22" t="inlineStr">
        <is>
          <t>Downward Gaze</t>
        </is>
      </c>
      <c r="B22" t="inlineStr">
        <is>
          <t>0.0%</t>
        </is>
      </c>
    </row>
    <row r="23">
      <c r="A23" t="inlineStr">
        <is>
          <t>Facial Expression</t>
        </is>
      </c>
      <c r="B23" t="inlineStr">
        <is>
          <t>Limited facial expressions - appears neutral/tense</t>
        </is>
      </c>
    </row>
    <row r="24">
      <c r="A24" t="inlineStr">
        <is>
          <t>Smile Percentage</t>
        </is>
      </c>
      <c r="B24" t="inlineStr">
        <is>
          <t>0.0%</t>
        </is>
      </c>
    </row>
    <row r="25">
      <c r="A25" t="inlineStr">
        <is>
          <t>Hand Gestures</t>
        </is>
      </c>
      <c r="B25" t="inlineStr">
        <is>
          <t>Hands visible in only 0% of frames - Position yourself closer to camera or keep hands in frame</t>
        </is>
      </c>
    </row>
    <row r="26">
      <c r="A26" t="inlineStr">
        <is>
          <t>Posture</t>
        </is>
      </c>
      <c r="B26" t="inlineStr">
        <is>
          <t>Poor posture - frequent leaning or slouching</t>
        </is>
      </c>
    </row>
    <row r="27">
      <c r="A27" t="inlineStr">
        <is>
          <t>Body Movement</t>
        </is>
      </c>
      <c r="B27" t="inlineStr">
        <is>
          <t>Balanced movement - used stage effectively</t>
        </is>
      </c>
    </row>
    <row r="28">
      <c r="A28" t="inlineStr">
        <is>
          <t>Stage Coverage</t>
        </is>
      </c>
      <c r="B28" t="inlineStr">
        <is>
          <t>57.3%</t>
        </is>
      </c>
    </row>
    <row r="29"/>
    <row r="30">
      <c r="A30" s="11" t="inlineStr">
        <is>
          <t>Grammar Analysis</t>
        </is>
      </c>
    </row>
    <row r="31">
      <c r="A31" t="inlineStr">
        <is>
          <t>Total Issues</t>
        </is>
      </c>
      <c r="B31" t="n">
        <v>0</v>
      </c>
    </row>
    <row r="32">
      <c r="A32" t="inlineStr">
        <is>
          <t>Grammar Density</t>
        </is>
      </c>
      <c r="B32" t="inlineStr">
        <is>
          <t>0.0%</t>
        </is>
      </c>
    </row>
    <row r="33">
      <c r="A33" t="inlineStr">
        <is>
          <t>Grammar Score</t>
        </is>
      </c>
      <c r="B33" t="inlineStr">
        <is>
          <t>100.0%</t>
        </is>
      </c>
    </row>
    <row r="34"/>
    <row r="35">
      <c r="A35" s="11" t="inlineStr">
        <is>
          <t>Fidgeting &amp; Bad Behaviors</t>
        </is>
      </c>
    </row>
    <row r="36">
      <c r="A36" t="inlineStr">
        <is>
          <t>Total Fidgeting Instances</t>
        </is>
      </c>
      <c r="B36" t="n">
        <v>270</v>
      </c>
    </row>
    <row r="37">
      <c r="A37" t="inlineStr">
        <is>
          <t>Face Touching</t>
        </is>
      </c>
      <c r="B37" t="n">
        <v>1</v>
      </c>
    </row>
    <row r="38">
      <c r="A38" t="inlineStr">
        <is>
          <t>Hair Touching</t>
        </is>
      </c>
      <c r="B38" t="n">
        <v>0</v>
      </c>
    </row>
    <row r="39">
      <c r="A39" t="inlineStr">
        <is>
          <t>Arms Crossed</t>
        </is>
      </c>
      <c r="B39" t="n">
        <v>268</v>
      </c>
    </row>
    <row r="40">
      <c r="A40" t="inlineStr">
        <is>
          <t>Hands in Pockets</t>
        </is>
      </c>
      <c r="B40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3" customWidth="1" min="3" max="3"/>
    <col width="50" customWidth="1" min="4" max="4"/>
  </cols>
  <sheetData>
    <row r="1">
      <c r="A1" s="10" t="inlineStr">
        <is>
          <t>PERSONALIZED IMPROVEMENT PLAN</t>
        </is>
      </c>
    </row>
    <row r="2">
      <c r="A2" s="11" t="inlineStr">
        <is>
          <t>Area</t>
        </is>
      </c>
      <c r="B2" s="11" t="inlineStr">
        <is>
          <t>Current Status</t>
        </is>
      </c>
      <c r="C2" s="11" t="inlineStr">
        <is>
          <t>Target</t>
        </is>
      </c>
      <c r="D2" s="11" t="inlineStr">
        <is>
          <t>Action Steps</t>
        </is>
      </c>
    </row>
    <row r="3">
      <c r="A3" t="inlineStr">
        <is>
          <t>Speech Clarity</t>
        </is>
      </c>
      <c r="B3" t="inlineStr">
        <is>
          <t>82.06%</t>
        </is>
      </c>
      <c r="C3" t="inlineStr">
        <is>
          <t>85%</t>
        </is>
      </c>
      <c r="D3" s="12" t="inlineStr">
        <is>
          <t>• Practice with filler word awareness exercises
• Use pause techniques instead of filler words (um, uh, like, you know)
• Record yourself and count filler words
• Focus on eliminating verbal crutches (actually, basically, literally)</t>
        </is>
      </c>
    </row>
    <row r="4">
      <c r="A4" t="inlineStr">
        <is>
          <t>Eye Contact</t>
        </is>
      </c>
      <c r="B4" t="inlineStr">
        <is>
          <t>Poor</t>
        </is>
      </c>
      <c r="C4" t="inlineStr">
        <is>
          <t>Good/Excellent</t>
        </is>
      </c>
      <c r="D4" s="12" t="inlineStr">
        <is>
          <t>• Practice 3-point eye contact technique (Left-Center-Right)
• Hold eye contact for 3-5 seconds per person
• Avoid looking at notes/screen excessively</t>
        </is>
      </c>
    </row>
    <row r="5">
      <c r="A5" t="inlineStr">
        <is>
          <t>Posture &amp; Body Language</t>
        </is>
      </c>
      <c r="B5" t="inlineStr">
        <is>
          <t>Poor posture - frequent leaning or slouching</t>
        </is>
      </c>
      <c r="C5" t="inlineStr">
        <is>
          <t>Good posture, balanced movement</t>
        </is>
      </c>
      <c r="D5" s="12" t="inlineStr">
        <is>
          <t>• Stand with feet shoulder-width apart
• Keep shoulders back and relaxed
• Practice natural hand gestures at waist level
• Avoid fidgeting behaviors (face touching, hair touching, arms crossed)</t>
        </is>
      </c>
    </row>
    <row r="6">
      <c r="A6" t="inlineStr">
        <is>
          <t>Voice Modulation</t>
        </is>
      </c>
      <c r="B6" t="inlineStr">
        <is>
          <t>Highly dynamic. Great energy - ensure it remains professional.</t>
        </is>
      </c>
      <c r="C6" t="inlineStr">
        <is>
          <t>Good/Excellent modulation</t>
        </is>
      </c>
      <c r="D6" s="12" t="inlineStr">
        <is>
          <t>• Practice varying pitch on key words
• Use pauses for emphasis
• Record and listen to your vocal variety</t>
        </is>
      </c>
    </row>
    <row r="7"/>
    <row r="8">
      <c r="A8" s="11" t="inlineStr">
        <is>
          <t>AI RECOMMENDATIONS</t>
        </is>
      </c>
    </row>
    <row r="9">
      <c r="A9" t="inlineStr">
        <is>
          <t>1. Eye contact weak. Scan all audience sections while speaking.</t>
        </is>
      </c>
    </row>
    <row r="10">
      <c r="A10" t="inlineStr">
        <is>
          <t>2. Posture issues detected. Stand upright with relaxed shoulders.</t>
        </is>
      </c>
    </row>
    <row r="11">
      <c r="A11" t="inlineStr">
        <is>
          <t>3. Excessive fidgeting detected. Practice keeping hands still or use purposeful gestures.</t>
        </is>
      </c>
    </row>
  </sheetData>
  <mergeCells count="5">
    <mergeCell ref="A9:D9"/>
    <mergeCell ref="A8:D8"/>
    <mergeCell ref="A1:C1"/>
    <mergeCell ref="A11:D11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40" customWidth="1" min="4" max="4"/>
  </cols>
  <sheetData>
    <row r="1">
      <c r="A1" s="10" t="inlineStr">
        <is>
          <t>BAD BEHAVIOR DETECTION - FIDGETING &amp; DISTRACTING HABITS</t>
        </is>
      </c>
    </row>
    <row r="2">
      <c r="A2" s="11" t="inlineStr">
        <is>
          <t>Frame #</t>
        </is>
      </c>
      <c r="B2" s="11" t="inlineStr">
        <is>
          <t>Time (seconds)</t>
        </is>
      </c>
      <c r="C2" s="11" t="inlineStr">
        <is>
          <t>Behaviors Detected</t>
        </is>
      </c>
      <c r="D2" s="11" t="inlineStr">
        <is>
          <t>Recommendation</t>
        </is>
      </c>
    </row>
    <row r="3">
      <c r="A3" t="n">
        <v>1</v>
      </c>
      <c r="B3" t="inlineStr">
        <is>
          <t>0.0s</t>
        </is>
      </c>
      <c r="C3" t="inlineStr">
        <is>
          <t>Arms Crossed, Finger Fidgeting, Leaning, Slumped Posture, Touching Face</t>
        </is>
      </c>
      <c r="D3" t="inlineStr">
        <is>
          <t>Avoid touching face/hair - appears nervous and unprofessional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6" customWidth="1" min="5" max="5"/>
    <col width="10" customWidth="1" min="6" max="6"/>
    <col width="6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10" customWidth="1" min="14" max="14"/>
    <col width="6" customWidth="1" min="15" max="15"/>
    <col width="10" customWidth="1" min="16" max="16"/>
    <col width="6" customWidth="1" min="17" max="17"/>
    <col width="10" customWidth="1" min="18" max="18"/>
    <col width="6" customWidth="1" min="19" max="19"/>
    <col width="10" customWidth="1" min="20" max="20"/>
    <col width="6" customWidth="1" min="21" max="21"/>
    <col width="10" customWidth="1" min="22" max="22"/>
    <col width="6" customWidth="1" min="23" max="23"/>
    <col width="10" customWidth="1" min="24" max="24"/>
    <col width="6" customWidth="1" min="25" max="25"/>
    <col width="10" customWidth="1" min="26" max="26"/>
    <col width="6" customWidth="1" min="27" max="27"/>
    <col width="10" customWidth="1" min="28" max="28"/>
    <col width="6" customWidth="1" min="29" max="29"/>
    <col width="10" customWidth="1" min="30" max="30"/>
    <col width="6" customWidth="1" min="31" max="31"/>
    <col width="10" customWidth="1" min="32" max="32"/>
    <col width="6" customWidth="1" min="33" max="33"/>
    <col width="10" customWidth="1" min="34" max="34"/>
    <col width="6" customWidth="1" min="35" max="35"/>
    <col width="10" customWidth="1" min="36" max="36"/>
    <col width="6" customWidth="1" min="37" max="37"/>
    <col width="10" customWidth="1" min="38" max="38"/>
    <col width="6" customWidth="1" min="39" max="39"/>
    <col width="10" customWidth="1" min="40" max="40"/>
    <col width="6" customWidth="1" min="41" max="41"/>
    <col width="10" customWidth="1" min="42" max="42"/>
    <col width="6" customWidth="1" min="43" max="43"/>
    <col width="10" customWidth="1" min="44" max="44"/>
    <col width="6" customWidth="1" min="45" max="45"/>
    <col width="10" customWidth="1" min="46" max="46"/>
    <col width="6" customWidth="1" min="47" max="47"/>
    <col width="10" customWidth="1" min="48" max="48"/>
    <col width="6" customWidth="1" min="49" max="49"/>
    <col width="10" customWidth="1" min="50" max="50"/>
    <col width="6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 ht="30" customHeight="1">
      <c r="A1" s="13" t="inlineStr">
        <is>
          <t>Sl. No.</t>
        </is>
      </c>
      <c r="B1" s="13" t="inlineStr">
        <is>
          <t>Name</t>
        </is>
      </c>
      <c r="C1" s="13" t="inlineStr">
        <is>
          <t>Email</t>
        </is>
      </c>
      <c r="D1" s="14" t="inlineStr">
        <is>
          <t>Body Language</t>
        </is>
      </c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4" t="inlineStr">
        <is>
          <t>Content</t>
        </is>
      </c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14" t="inlineStr">
        <is>
          <t>Delivery</t>
        </is>
      </c>
      <c r="AC1" s="15" t="n"/>
      <c r="AD1" s="15" t="n"/>
      <c r="AE1" s="15" t="n"/>
      <c r="AF1" s="15" t="n"/>
      <c r="AG1" s="15" t="n"/>
      <c r="AH1" s="15" t="n"/>
      <c r="AI1" s="15" t="n"/>
      <c r="AJ1" s="15" t="n"/>
      <c r="AK1" s="15" t="n"/>
      <c r="AL1" s="15" t="n"/>
      <c r="AM1" s="15" t="n"/>
      <c r="AN1" s="14" t="inlineStr">
        <is>
          <t>Impact (Audience)</t>
        </is>
      </c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6" t="inlineStr">
        <is>
          <t>Scores</t>
        </is>
      </c>
      <c r="BA1" s="15" t="n"/>
      <c r="BB1" s="15" t="n"/>
      <c r="BC1" s="15" t="n"/>
      <c r="BD1" s="15" t="n"/>
      <c r="BE1" s="15" t="n"/>
      <c r="BF1" s="15" t="n"/>
      <c r="BG1" s="15" t="n"/>
      <c r="BH1" s="15" t="n"/>
    </row>
    <row r="2" ht="45" customHeight="1">
      <c r="A2" s="15" t="n"/>
      <c r="B2" s="15" t="n"/>
      <c r="C2" s="15" t="n"/>
      <c r="D2" s="17" t="inlineStr">
        <is>
          <t>Eye Contact Max(5)</t>
        </is>
      </c>
      <c r="E2" s="15" t="n"/>
      <c r="F2" s="17" t="inlineStr">
        <is>
          <t>Hand Gestures Max(5)</t>
        </is>
      </c>
      <c r="G2" s="15" t="n"/>
      <c r="H2" s="17" t="inlineStr">
        <is>
          <t>Posture &amp; Body Movements Max(5)</t>
        </is>
      </c>
      <c r="I2" s="15" t="n"/>
      <c r="J2" s="17" t="inlineStr">
        <is>
          <t>Facial Expressions Max(5)</t>
        </is>
      </c>
      <c r="K2" s="15" t="n"/>
      <c r="L2" s="17" t="inlineStr">
        <is>
          <t>Appearance &amp; Attire Max(5)</t>
        </is>
      </c>
      <c r="M2" s="15" t="n"/>
      <c r="N2" s="18" t="inlineStr">
        <is>
          <t>Sum</t>
        </is>
      </c>
      <c r="O2" s="15" t="n"/>
      <c r="P2" s="17" t="inlineStr">
        <is>
          <t>Outline Max(5)</t>
        </is>
      </c>
      <c r="Q2" s="15" t="n"/>
      <c r="R2" s="17" t="inlineStr">
        <is>
          <t>Opening Max(5)</t>
        </is>
      </c>
      <c r="S2" s="15" t="n"/>
      <c r="T2" s="17" t="inlineStr">
        <is>
          <t>Body of the Message Max(10)</t>
        </is>
      </c>
      <c r="U2" s="15" t="n"/>
      <c r="V2" s="17" t="inlineStr">
        <is>
          <t>Closure Max(5)</t>
        </is>
      </c>
      <c r="W2" s="15" t="n"/>
      <c r="X2" s="17" t="inlineStr">
        <is>
          <t>Time Management Max(5)</t>
        </is>
      </c>
      <c r="Y2" s="15" t="n"/>
      <c r="Z2" s="18" t="inlineStr">
        <is>
          <t>Sum</t>
        </is>
      </c>
      <c r="AA2" s="15" t="n"/>
      <c r="AB2" s="17" t="inlineStr">
        <is>
          <t>Grammar/ Vocabulary Max(4)</t>
        </is>
      </c>
      <c r="AC2" s="15" t="n"/>
      <c r="AD2" s="17" t="inlineStr">
        <is>
          <t>Accent/Pronunciation Max(3)</t>
        </is>
      </c>
      <c r="AE2" s="15" t="n"/>
      <c r="AF2" s="17" t="inlineStr">
        <is>
          <t>Voice Modulation Max(4)</t>
        </is>
      </c>
      <c r="AG2" s="15" t="n"/>
      <c r="AH2" s="17" t="inlineStr">
        <is>
          <t>Rate of Speech Max (4)</t>
        </is>
      </c>
      <c r="AI2" s="15" t="n"/>
      <c r="AJ2" s="17" t="inlineStr">
        <is>
          <t>Fluency Max(4)</t>
        </is>
      </c>
      <c r="AK2" s="15" t="n"/>
      <c r="AL2" s="18" t="inlineStr">
        <is>
          <t>Sum</t>
        </is>
      </c>
      <c r="AM2" s="15" t="n"/>
      <c r="AN2" s="17" t="inlineStr">
        <is>
          <t>Verbal Interaction (4)</t>
        </is>
      </c>
      <c r="AO2" s="15" t="n"/>
      <c r="AP2" s="17" t="inlineStr">
        <is>
          <t>Response to Q &amp; A (4)</t>
        </is>
      </c>
      <c r="AQ2" s="15" t="n"/>
      <c r="AR2" s="17" t="inlineStr">
        <is>
          <t>Audience Engagement (8)</t>
        </is>
      </c>
      <c r="AS2" s="15" t="n"/>
      <c r="AT2" s="17" t="inlineStr">
        <is>
          <t>Emotional Connection (5)</t>
        </is>
      </c>
      <c r="AU2" s="15" t="n"/>
      <c r="AV2" s="17" t="inlineStr">
        <is>
          <t>Active Listening (5)</t>
        </is>
      </c>
      <c r="AW2" s="15" t="n"/>
      <c r="AX2" s="18" t="inlineStr">
        <is>
          <t>Sum</t>
        </is>
      </c>
      <c r="AY2" s="15" t="n"/>
      <c r="AZ2" s="16" t="inlineStr">
        <is>
          <t>BE Total Score</t>
        </is>
      </c>
      <c r="BA2" s="15" t="n"/>
      <c r="BB2" s="15" t="n"/>
      <c r="BC2" s="16" t="inlineStr">
        <is>
          <t>MT Total score</t>
        </is>
      </c>
      <c r="BD2" s="15" t="n"/>
      <c r="BE2" s="15" t="n"/>
      <c r="BF2" s="16" t="inlineStr">
        <is>
          <t>FE Total Score</t>
        </is>
      </c>
      <c r="BG2" s="15" t="n"/>
      <c r="BH2" s="15" t="n"/>
    </row>
    <row r="3" ht="20" customHeight="1">
      <c r="A3" s="15" t="n"/>
      <c r="B3" s="15" t="n"/>
      <c r="C3" s="15" t="n"/>
      <c r="D3" s="19" t="inlineStr">
        <is>
          <t>BE</t>
        </is>
      </c>
      <c r="E3" s="19" t="inlineStr">
        <is>
          <t>FE</t>
        </is>
      </c>
      <c r="F3" s="19" t="inlineStr">
        <is>
          <t>BE</t>
        </is>
      </c>
      <c r="G3" s="19" t="inlineStr">
        <is>
          <t>FE</t>
        </is>
      </c>
      <c r="H3" s="19" t="inlineStr">
        <is>
          <t>BE</t>
        </is>
      </c>
      <c r="I3" s="19" t="inlineStr">
        <is>
          <t>FE</t>
        </is>
      </c>
      <c r="J3" s="19" t="inlineStr">
        <is>
          <t>BE</t>
        </is>
      </c>
      <c r="K3" s="19" t="inlineStr">
        <is>
          <t>FE</t>
        </is>
      </c>
      <c r="L3" s="19" t="inlineStr">
        <is>
          <t>BE</t>
        </is>
      </c>
      <c r="M3" s="19" t="inlineStr">
        <is>
          <t>FE</t>
        </is>
      </c>
      <c r="N3" s="18" t="inlineStr">
        <is>
          <t>BE</t>
        </is>
      </c>
      <c r="O3" s="18" t="inlineStr">
        <is>
          <t>FE</t>
        </is>
      </c>
      <c r="P3" s="19" t="inlineStr">
        <is>
          <t>BE</t>
        </is>
      </c>
      <c r="Q3" s="19" t="inlineStr">
        <is>
          <t>FE</t>
        </is>
      </c>
      <c r="R3" s="19" t="inlineStr">
        <is>
          <t>BE</t>
        </is>
      </c>
      <c r="S3" s="19" t="inlineStr">
        <is>
          <t>FE</t>
        </is>
      </c>
      <c r="T3" s="19" t="inlineStr">
        <is>
          <t>BE</t>
        </is>
      </c>
      <c r="U3" s="19" t="inlineStr">
        <is>
          <t>FE</t>
        </is>
      </c>
      <c r="V3" s="19" t="inlineStr">
        <is>
          <t>BE</t>
        </is>
      </c>
      <c r="W3" s="19" t="inlineStr">
        <is>
          <t>FE</t>
        </is>
      </c>
      <c r="X3" s="19" t="inlineStr">
        <is>
          <t>BE</t>
        </is>
      </c>
      <c r="Y3" s="19" t="inlineStr">
        <is>
          <t>FE</t>
        </is>
      </c>
      <c r="Z3" s="18" t="inlineStr">
        <is>
          <t>BE</t>
        </is>
      </c>
      <c r="AA3" s="18" t="inlineStr">
        <is>
          <t>FE</t>
        </is>
      </c>
      <c r="AB3" s="19" t="inlineStr">
        <is>
          <t>BE</t>
        </is>
      </c>
      <c r="AC3" s="19" t="inlineStr">
        <is>
          <t>FE</t>
        </is>
      </c>
      <c r="AD3" s="19" t="inlineStr">
        <is>
          <t>BE</t>
        </is>
      </c>
      <c r="AE3" s="19" t="inlineStr">
        <is>
          <t>FE</t>
        </is>
      </c>
      <c r="AF3" s="19" t="inlineStr">
        <is>
          <t>BE</t>
        </is>
      </c>
      <c r="AG3" s="19" t="inlineStr">
        <is>
          <t>FE</t>
        </is>
      </c>
      <c r="AH3" s="19" t="inlineStr">
        <is>
          <t>BE</t>
        </is>
      </c>
      <c r="AI3" s="19" t="inlineStr">
        <is>
          <t>FE</t>
        </is>
      </c>
      <c r="AJ3" s="19" t="inlineStr">
        <is>
          <t>BE</t>
        </is>
      </c>
      <c r="AK3" s="19" t="inlineStr">
        <is>
          <t>FE</t>
        </is>
      </c>
      <c r="AL3" s="18" t="inlineStr">
        <is>
          <t>BE</t>
        </is>
      </c>
      <c r="AM3" s="18" t="inlineStr">
        <is>
          <t>FE</t>
        </is>
      </c>
      <c r="AN3" s="19" t="inlineStr">
        <is>
          <t>BE</t>
        </is>
      </c>
      <c r="AO3" s="19" t="inlineStr">
        <is>
          <t>FE</t>
        </is>
      </c>
      <c r="AP3" s="19" t="inlineStr">
        <is>
          <t>BE</t>
        </is>
      </c>
      <c r="AQ3" s="19" t="inlineStr">
        <is>
          <t>FE</t>
        </is>
      </c>
      <c r="AR3" s="19" t="inlineStr">
        <is>
          <t>BE</t>
        </is>
      </c>
      <c r="AS3" s="19" t="inlineStr">
        <is>
          <t>FE</t>
        </is>
      </c>
      <c r="AT3" s="19" t="inlineStr">
        <is>
          <t>BE</t>
        </is>
      </c>
      <c r="AU3" s="19" t="inlineStr">
        <is>
          <t>FE</t>
        </is>
      </c>
      <c r="AV3" s="19" t="inlineStr">
        <is>
          <t>BE</t>
        </is>
      </c>
      <c r="AW3" s="19" t="inlineStr">
        <is>
          <t>FE</t>
        </is>
      </c>
      <c r="AX3" s="18" t="inlineStr">
        <is>
          <t>BE</t>
        </is>
      </c>
      <c r="AY3" s="18" t="inlineStr">
        <is>
          <t>FE</t>
        </is>
      </c>
      <c r="AZ3" s="16" t="inlineStr">
        <is>
          <t>Total</t>
        </is>
      </c>
      <c r="BA3" s="16" t="inlineStr">
        <is>
          <t>Percentage</t>
        </is>
      </c>
      <c r="BB3" s="16" t="inlineStr">
        <is>
          <t>Grades</t>
        </is>
      </c>
      <c r="BC3" s="16" t="inlineStr">
        <is>
          <t>Total</t>
        </is>
      </c>
      <c r="BD3" s="16" t="inlineStr">
        <is>
          <t>Percentage</t>
        </is>
      </c>
      <c r="BE3" s="16" t="inlineStr">
        <is>
          <t>Grades</t>
        </is>
      </c>
      <c r="BF3" s="16" t="inlineStr">
        <is>
          <t>Total</t>
        </is>
      </c>
      <c r="BG3" s="16" t="inlineStr">
        <is>
          <t>Percentage</t>
        </is>
      </c>
      <c r="BH3" s="16" t="inlineStr">
        <is>
          <t>Grades</t>
        </is>
      </c>
    </row>
    <row r="4">
      <c r="A4" s="20" t="n">
        <v>1</v>
      </c>
      <c r="B4" s="21" t="inlineStr">
        <is>
          <t>Vandana Narayan Gouda</t>
        </is>
      </c>
      <c r="C4" s="21" t="inlineStr">
        <is>
          <t>Vandana_Narayan_Gouda@gmail.com</t>
        </is>
      </c>
      <c r="D4" s="20" t="n">
        <v>3</v>
      </c>
      <c r="E4" s="20" t="inlineStr"/>
      <c r="F4" s="20" t="n">
        <v>3</v>
      </c>
      <c r="G4" s="20" t="inlineStr"/>
      <c r="H4" s="20" t="n">
        <v>3</v>
      </c>
      <c r="I4" s="20" t="inlineStr"/>
      <c r="J4" s="20" t="n">
        <v>3</v>
      </c>
      <c r="K4" s="20" t="inlineStr"/>
      <c r="L4" s="20" t="n">
        <v>3</v>
      </c>
      <c r="M4" s="20" t="inlineStr"/>
      <c r="N4" s="22">
        <f>D4+F4+H4+J4+L4</f>
        <v/>
      </c>
      <c r="O4" s="22">
        <f>E4+G4+I4+K4+M4</f>
        <v/>
      </c>
      <c r="P4" s="20" t="n">
        <v>3</v>
      </c>
      <c r="Q4" s="20" t="inlineStr"/>
      <c r="R4" s="20" t="n">
        <v>3</v>
      </c>
      <c r="S4" s="20" t="inlineStr"/>
      <c r="T4" s="20" t="n">
        <v>3</v>
      </c>
      <c r="U4" s="20" t="inlineStr"/>
      <c r="V4" s="20" t="n">
        <v>3</v>
      </c>
      <c r="W4" s="20" t="inlineStr"/>
      <c r="X4" s="20" t="n">
        <v>3</v>
      </c>
      <c r="Y4" s="20" t="inlineStr"/>
      <c r="Z4" s="22">
        <f>P4+R4+T4+V4+X4</f>
        <v/>
      </c>
      <c r="AA4" s="22">
        <f>Q4+S4+U4+W4+Y4</f>
        <v/>
      </c>
      <c r="AB4" s="20" t="n">
        <v>3</v>
      </c>
      <c r="AC4" s="20" t="inlineStr"/>
      <c r="AD4" s="20" t="n">
        <v>3</v>
      </c>
      <c r="AE4" s="20" t="inlineStr"/>
      <c r="AF4" s="20" t="n">
        <v>3</v>
      </c>
      <c r="AG4" s="20" t="inlineStr"/>
      <c r="AH4" s="20" t="n">
        <v>3</v>
      </c>
      <c r="AI4" s="20" t="inlineStr"/>
      <c r="AJ4" s="20" t="n">
        <v>3</v>
      </c>
      <c r="AK4" s="20" t="inlineStr"/>
      <c r="AL4" s="22">
        <f>AB4+AD4+AF4+AH4+AJ4</f>
        <v/>
      </c>
      <c r="AM4" s="22">
        <f>AC4+AE4+AG4+AI4+AK4</f>
        <v/>
      </c>
      <c r="AN4" s="20" t="n">
        <v>3</v>
      </c>
      <c r="AO4" s="20" t="inlineStr"/>
      <c r="AP4" s="20" t="n">
        <v>3</v>
      </c>
      <c r="AQ4" s="20" t="inlineStr"/>
      <c r="AR4" s="20" t="n">
        <v>3</v>
      </c>
      <c r="AS4" s="20" t="inlineStr"/>
      <c r="AT4" s="20" t="n">
        <v>3</v>
      </c>
      <c r="AU4" s="20" t="inlineStr"/>
      <c r="AV4" s="20" t="n">
        <v>3</v>
      </c>
      <c r="AW4" s="20" t="inlineStr"/>
      <c r="AX4" s="22">
        <f>AN4+AP4+AR4+AT4+AV4</f>
        <v/>
      </c>
      <c r="AY4" s="22">
        <f>AO4+AQ4+AS4+AU4+AW4</f>
        <v/>
      </c>
      <c r="AZ4" s="23">
        <f>N4+Z4+AL4+AX4</f>
        <v/>
      </c>
      <c r="BA4" s="24">
        <f>AZ4/100</f>
        <v/>
      </c>
      <c r="BB4" s="23">
        <f>IF(BA4&gt;=0.9,"A+",IF(BA4&gt;=0.8,"A",IF(BA4&gt;=0.7,"B",IF(BA4&gt;=0.6,"C","not qualified"))))</f>
        <v/>
      </c>
      <c r="BC4" s="23" t="n">
        <v>0</v>
      </c>
      <c r="BD4" s="24">
        <f>BC4/100</f>
        <v/>
      </c>
      <c r="BE4" s="23">
        <f>IF(BD4&gt;=0.9,"A+",IF(BD4&gt;=0.8,"A",IF(BD4&gt;=0.7,"B",IF(BD4&gt;=0.6,"C","not qualified"))))</f>
        <v/>
      </c>
      <c r="BF4" s="23">
        <f>O4+AA4+AM4+AY4</f>
        <v/>
      </c>
      <c r="BG4" s="24">
        <f>BF4/100</f>
        <v/>
      </c>
      <c r="BH4" s="23">
        <f>IF(BG4&gt;=0.9,"A+",IF(BG4&gt;=0.8,"A",IF(BG4&gt;=0.7,"B",IF(BG4&gt;=0.6,"C","not qualified"))))</f>
        <v/>
      </c>
    </row>
  </sheetData>
  <mergeCells count="35">
    <mergeCell ref="L2:M2"/>
    <mergeCell ref="AB1:AM1"/>
    <mergeCell ref="V2:W2"/>
    <mergeCell ref="X2:Y2"/>
    <mergeCell ref="AN1:AY1"/>
    <mergeCell ref="AJ2:AK2"/>
    <mergeCell ref="AL2:AM2"/>
    <mergeCell ref="D2:E2"/>
    <mergeCell ref="N2:O2"/>
    <mergeCell ref="AV2:AW2"/>
    <mergeCell ref="P2:Q2"/>
    <mergeCell ref="AX2:AY2"/>
    <mergeCell ref="AZ2:BB2"/>
    <mergeCell ref="A1:A3"/>
    <mergeCell ref="F2:G2"/>
    <mergeCell ref="H2:I2"/>
    <mergeCell ref="T2:U2"/>
    <mergeCell ref="Z2:AA2"/>
    <mergeCell ref="BF2:BH2"/>
    <mergeCell ref="AB2:AC2"/>
    <mergeCell ref="AD2:AE2"/>
    <mergeCell ref="AF2:AG2"/>
    <mergeCell ref="AN2:AO2"/>
    <mergeCell ref="AP2:AQ2"/>
    <mergeCell ref="B1:B3"/>
    <mergeCell ref="AH2:AI2"/>
    <mergeCell ref="D1:O1"/>
    <mergeCell ref="C1:C3"/>
    <mergeCell ref="P1:AA1"/>
    <mergeCell ref="AZ1:BH1"/>
    <mergeCell ref="J2:K2"/>
    <mergeCell ref="AR2:AS2"/>
    <mergeCell ref="BC2:BE2"/>
    <mergeCell ref="AT2:AU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2026-02-24T12:53:51Z</dcterms:created>
  <dcterms:modified xmlns:dcterms="http://purl.org/dc/terms/" xmlns:xsi="http://www.w3.org/2001/XMLSchema-instance" xsi:type="dcterms:W3CDTF">2026-02-24T12:53:51Z</dcterms:modified>
</cp:coreProperties>
</file>